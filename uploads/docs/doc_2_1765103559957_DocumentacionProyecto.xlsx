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0b22e91bfa3790eb/Escritorio/"/>
    </mc:Choice>
  </mc:AlternateContent>
  <xr:revisionPtr revIDLastSave="0" documentId="8_{3FA3F6E6-6693-4704-81FD-F7116759900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esupuesto" sheetId="1" r:id="rId1"/>
    <sheet name="Facturac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G2" i="2" s="1"/>
  <c r="H2" i="2" s="1"/>
  <c r="I2" i="2" s="1"/>
  <c r="F14" i="2"/>
  <c r="G14" i="2" s="1"/>
  <c r="C13" i="2"/>
  <c r="C12" i="2"/>
  <c r="C11" i="2"/>
  <c r="C10" i="2"/>
  <c r="F6" i="2"/>
  <c r="G6" i="2" s="1"/>
  <c r="H6" i="2" s="1"/>
  <c r="E5" i="2"/>
  <c r="F4" i="2"/>
  <c r="G4" i="2" s="1"/>
  <c r="H4" i="2" s="1"/>
  <c r="I4" i="2" s="1"/>
  <c r="J4" i="2" s="1"/>
  <c r="F3" i="2"/>
  <c r="G3" i="2" s="1"/>
  <c r="H3" i="2" s="1"/>
  <c r="I3" i="2" s="1"/>
  <c r="J3" i="2" s="1"/>
  <c r="E6" i="1"/>
  <c r="E5" i="1"/>
  <c r="E3" i="1"/>
  <c r="E2" i="1"/>
  <c r="D13" i="2" l="1"/>
  <c r="F13" i="2" s="1"/>
  <c r="G13" i="2" s="1"/>
  <c r="D12" i="2"/>
  <c r="F12" i="2" s="1"/>
  <c r="D11" i="2"/>
  <c r="F11" i="2" s="1"/>
  <c r="D10" i="2"/>
  <c r="F10" i="2" s="1"/>
  <c r="H14" i="2"/>
  <c r="I14" i="2" s="1"/>
  <c r="J14" i="2" s="1"/>
  <c r="J2" i="2"/>
  <c r="I6" i="2"/>
  <c r="J6" i="2" s="1"/>
  <c r="F5" i="2"/>
  <c r="G5" i="2" s="1"/>
  <c r="H5" i="2" s="1"/>
  <c r="I5" i="2" s="1"/>
  <c r="J5" i="2" s="1"/>
  <c r="G11" i="2" l="1"/>
  <c r="F19" i="2"/>
  <c r="G12" i="2"/>
  <c r="F20" i="2"/>
  <c r="G10" i="2"/>
  <c r="F18" i="2"/>
  <c r="H13" i="2"/>
  <c r="I13" i="2" s="1"/>
  <c r="J13" i="2" s="1"/>
  <c r="H12" i="2" l="1"/>
  <c r="G20" i="2"/>
  <c r="H11" i="2"/>
  <c r="G19" i="2"/>
  <c r="H10" i="2"/>
  <c r="G18" i="2"/>
  <c r="I11" i="2" l="1"/>
  <c r="H19" i="2"/>
  <c r="I12" i="2"/>
  <c r="H20" i="2"/>
  <c r="I10" i="2"/>
  <c r="H18" i="2"/>
  <c r="J12" i="2" l="1"/>
  <c r="J20" i="2" s="1"/>
  <c r="I20" i="2"/>
  <c r="J11" i="2"/>
  <c r="J19" i="2" s="1"/>
  <c r="I19" i="2"/>
  <c r="J10" i="2"/>
  <c r="J18" i="2" s="1"/>
  <c r="I18" i="2"/>
</calcChain>
</file>

<file path=xl/sharedStrings.xml><?xml version="1.0" encoding="utf-8"?>
<sst xmlns="http://schemas.openxmlformats.org/spreadsheetml/2006/main" count="59" uniqueCount="26">
  <si>
    <t>Producto</t>
  </si>
  <si>
    <t>Cantidad</t>
  </si>
  <si>
    <t>Tiempo</t>
  </si>
  <si>
    <t>Servidor VPS</t>
  </si>
  <si>
    <t>Dominio</t>
  </si>
  <si>
    <t>mes</t>
  </si>
  <si>
    <t>total</t>
  </si>
  <si>
    <t>Total</t>
  </si>
  <si>
    <t>Por Persona</t>
  </si>
  <si>
    <t>Empresa</t>
  </si>
  <si>
    <t>Precio</t>
  </si>
  <si>
    <t>Dia</t>
  </si>
  <si>
    <t>Semana</t>
  </si>
  <si>
    <t>Mes</t>
  </si>
  <si>
    <t>Pequeña</t>
  </si>
  <si>
    <t>Mediana</t>
  </si>
  <si>
    <t>Grande</t>
  </si>
  <si>
    <t>Facturas</t>
  </si>
  <si>
    <t>Fondos</t>
  </si>
  <si>
    <t>Especial</t>
  </si>
  <si>
    <t>Personalizado</t>
  </si>
  <si>
    <t>Cuota Fija</t>
  </si>
  <si>
    <t>Factura + Penalizacion</t>
  </si>
  <si>
    <t>En caso de infraccion</t>
  </si>
  <si>
    <t>-</t>
  </si>
  <si>
    <t>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</si>
</sst>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64" fontId="0" fillId="0" borderId="0" xfId="0" applyNumberFormat="1"/>
    <xf numFmtId="2" fontId="0" fillId="0" borderId="0" xfId="0" applyNumberFormat="1"/>
    <xf numFmtId="2" fontId="0" fillId="0" borderId="0" xfId="0" applyNumberFormat="1" applyAlignment="1">
      <alignment horizontal="center"/>
    </xf>
    <xf numFmtId="0" fontId="0" fillId="2" borderId="0" xfId="0" applyFill="1"/>
    <xf numFmtId="2" fontId="0" fillId="2" borderId="0" xfId="0" applyNumberFormat="1" applyFill="1"/>
    <xf numFmtId="164" fontId="0" fillId="2" borderId="0" xfId="0" applyNumberFormat="1" applyFill="1"/>
    <xf numFmtId="0" fontId="0" fillId="3" borderId="0" xfId="0" applyFill="1"/>
    <xf numFmtId="2" fontId="0" fillId="3" borderId="0" xfId="0" applyNumberFormat="1" applyFill="1" applyAlignment="1">
      <alignment horizontal="center"/>
    </xf>
    <xf numFmtId="164" fontId="0" fillId="3" borderId="0" xfId="0" applyNumberFormat="1" applyFill="1"/>
    <xf numFmtId="0" fontId="0" fillId="4" borderId="0" xfId="0" applyFill="1"/>
    <xf numFmtId="2" fontId="0" fillId="4" borderId="0" xfId="0" applyNumberFormat="1" applyFill="1"/>
    <xf numFmtId="164" fontId="0" fillId="4" borderId="0" xfId="0" applyNumberFormat="1" applyFill="1"/>
    <xf numFmtId="0" fontId="0" fillId="5" borderId="0" xfId="0" applyFill="1"/>
    <xf numFmtId="2" fontId="0" fillId="5" borderId="0" xfId="0" applyNumberFormat="1" applyFill="1"/>
    <xf numFmtId="164" fontId="0" fillId="5" borderId="0" xfId="0" applyNumberFormat="1" applyFill="1"/>
    <xf numFmtId="44" fontId="0" fillId="0" borderId="0" xfId="0" applyNumberFormat="1"/>
    <xf numFmtId="0" fontId="0" fillId="0" borderId="0" xfId="0" applyFill="1"/>
    <xf numFmtId="2" fontId="0" fillId="0" borderId="0" xfId="0" applyNumberFormat="1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G1" sqref="G1"/>
    </sheetView>
  </sheetViews>
  <sheetFormatPr defaultColWidth="9.109375" defaultRowHeight="14.4" x14ac:dyDescent="0.3"/>
  <cols>
    <col min="1" max="1" width="12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5</v>
      </c>
      <c r="E1" t="s">
        <v>6</v>
      </c>
    </row>
    <row r="2" spans="1:5" x14ac:dyDescent="0.3">
      <c r="A2" t="s">
        <v>3</v>
      </c>
      <c r="B2">
        <v>1</v>
      </c>
      <c r="C2">
        <v>24</v>
      </c>
      <c r="D2">
        <v>6.99</v>
      </c>
      <c r="E2">
        <f>+D2*C2</f>
        <v>167.76</v>
      </c>
    </row>
    <row r="3" spans="1:5" x14ac:dyDescent="0.3">
      <c r="A3" t="s">
        <v>4</v>
      </c>
      <c r="B3">
        <v>2</v>
      </c>
      <c r="C3">
        <v>12</v>
      </c>
      <c r="D3">
        <v>2.99</v>
      </c>
      <c r="E3">
        <f>+D3*C3*B3</f>
        <v>71.760000000000005</v>
      </c>
    </row>
    <row r="5" spans="1:5" x14ac:dyDescent="0.3">
      <c r="A5" t="s">
        <v>7</v>
      </c>
      <c r="E5">
        <f>SUM(E2:E3)</f>
        <v>239.51999999999998</v>
      </c>
    </row>
    <row r="6" spans="1:5" x14ac:dyDescent="0.3">
      <c r="A6" t="s">
        <v>8</v>
      </c>
      <c r="E6">
        <f>+E5/2</f>
        <v>119.75999999999999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F9492-BBA4-418B-8715-E22F50323121}">
  <dimension ref="A1:K20"/>
  <sheetViews>
    <sheetView tabSelected="1" zoomScale="125" zoomScaleNormal="130" workbookViewId="0">
      <selection activeCell="B6" sqref="B6"/>
    </sheetView>
  </sheetViews>
  <sheetFormatPr defaultColWidth="11.5546875" defaultRowHeight="14.4" x14ac:dyDescent="0.3"/>
  <cols>
    <col min="1" max="1" width="19.77734375" bestFit="1" customWidth="1"/>
    <col min="3" max="3" width="11.44140625" style="2"/>
    <col min="4" max="4" width="11.5546875" style="2"/>
    <col min="5" max="5" width="19.77734375" bestFit="1" customWidth="1"/>
    <col min="7" max="11" width="11.44140625" style="1"/>
  </cols>
  <sheetData>
    <row r="1" spans="1:11" x14ac:dyDescent="0.3">
      <c r="A1" s="7" t="s">
        <v>9</v>
      </c>
      <c r="B1" s="7" t="s">
        <v>10</v>
      </c>
      <c r="C1" s="8" t="s">
        <v>24</v>
      </c>
      <c r="D1" s="8" t="s">
        <v>24</v>
      </c>
      <c r="E1" s="7" t="s">
        <v>17</v>
      </c>
      <c r="F1" s="9" t="s">
        <v>11</v>
      </c>
      <c r="G1" s="9" t="s">
        <v>12</v>
      </c>
      <c r="H1" s="9" t="s">
        <v>13</v>
      </c>
      <c r="I1" s="9" t="s">
        <v>18</v>
      </c>
      <c r="J1" s="9" t="s">
        <v>8</v>
      </c>
    </row>
    <row r="2" spans="1:11" x14ac:dyDescent="0.3">
      <c r="A2" t="s">
        <v>14</v>
      </c>
      <c r="B2">
        <v>0.08</v>
      </c>
      <c r="C2" s="3" t="s">
        <v>24</v>
      </c>
      <c r="D2" s="3" t="s">
        <v>24</v>
      </c>
      <c r="E2">
        <v>50</v>
      </c>
      <c r="F2" s="1">
        <f>+E2*B2</f>
        <v>4</v>
      </c>
      <c r="G2" s="1">
        <f>+F2*6</f>
        <v>24</v>
      </c>
      <c r="H2" s="1">
        <f>+G2*4</f>
        <v>96</v>
      </c>
      <c r="I2" s="1">
        <f>+H2*0.3</f>
        <v>28.799999999999997</v>
      </c>
      <c r="J2" s="1">
        <f>(H2-I2)/2</f>
        <v>33.6</v>
      </c>
    </row>
    <row r="3" spans="1:11" x14ac:dyDescent="0.3">
      <c r="A3" t="s">
        <v>15</v>
      </c>
      <c r="B3">
        <v>0.03</v>
      </c>
      <c r="C3" s="3" t="s">
        <v>24</v>
      </c>
      <c r="D3" s="3" t="s">
        <v>24</v>
      </c>
      <c r="E3">
        <v>200</v>
      </c>
      <c r="F3" s="1">
        <f>+E3*B3</f>
        <v>6</v>
      </c>
      <c r="G3" s="1">
        <f t="shared" ref="G3:G6" si="0">+F3*6</f>
        <v>36</v>
      </c>
      <c r="H3" s="1">
        <f t="shared" ref="H3:H6" si="1">+G3*4</f>
        <v>144</v>
      </c>
      <c r="I3" s="1">
        <f>+H3*0.3</f>
        <v>43.199999999999996</v>
      </c>
      <c r="J3" s="1">
        <f>(H3-I3)/2</f>
        <v>50.400000000000006</v>
      </c>
    </row>
    <row r="4" spans="1:11" x14ac:dyDescent="0.3">
      <c r="A4" t="s">
        <v>16</v>
      </c>
      <c r="B4">
        <v>0.02</v>
      </c>
      <c r="C4" s="3" t="s">
        <v>24</v>
      </c>
      <c r="D4" s="3" t="s">
        <v>24</v>
      </c>
      <c r="E4">
        <v>500</v>
      </c>
      <c r="F4" s="1">
        <f>+E4*B4</f>
        <v>10</v>
      </c>
      <c r="G4" s="1">
        <f t="shared" si="0"/>
        <v>60</v>
      </c>
      <c r="H4" s="1">
        <f t="shared" si="1"/>
        <v>240</v>
      </c>
      <c r="I4" s="1">
        <f>+H4*0.3</f>
        <v>72</v>
      </c>
      <c r="J4" s="1">
        <f>(H4-I4)/2</f>
        <v>84</v>
      </c>
    </row>
    <row r="5" spans="1:11" x14ac:dyDescent="0.3">
      <c r="A5" t="s">
        <v>19</v>
      </c>
      <c r="B5">
        <v>0.25</v>
      </c>
      <c r="C5" s="3" t="s">
        <v>24</v>
      </c>
      <c r="D5" s="3" t="s">
        <v>24</v>
      </c>
      <c r="E5">
        <f>ROUNDUP(200/31,0)</f>
        <v>7</v>
      </c>
      <c r="F5" s="1">
        <f>+E5*B5</f>
        <v>1.75</v>
      </c>
      <c r="G5" s="1">
        <f t="shared" si="0"/>
        <v>10.5</v>
      </c>
      <c r="H5" s="1">
        <f t="shared" si="1"/>
        <v>42</v>
      </c>
      <c r="I5" s="1">
        <f>+H5*0.3</f>
        <v>12.6</v>
      </c>
      <c r="J5" s="1">
        <f>(H5-I5)/2</f>
        <v>14.7</v>
      </c>
    </row>
    <row r="6" spans="1:11" x14ac:dyDescent="0.3">
      <c r="A6" t="s">
        <v>20</v>
      </c>
      <c r="B6">
        <v>7.0000000000000007E-2</v>
      </c>
      <c r="C6" s="3" t="s">
        <v>24</v>
      </c>
      <c r="D6" s="3" t="s">
        <v>24</v>
      </c>
      <c r="E6">
        <v>50</v>
      </c>
      <c r="F6" s="1">
        <f>+E6*B6</f>
        <v>3.5000000000000004</v>
      </c>
      <c r="G6" s="1">
        <f t="shared" si="0"/>
        <v>21.000000000000004</v>
      </c>
      <c r="H6" s="1">
        <f t="shared" si="1"/>
        <v>84.000000000000014</v>
      </c>
      <c r="I6" s="1">
        <f>+H6*0.3</f>
        <v>25.200000000000003</v>
      </c>
      <c r="J6" s="1">
        <f>(H6-I6)/2</f>
        <v>29.400000000000006</v>
      </c>
    </row>
    <row r="8" spans="1:11" x14ac:dyDescent="0.3">
      <c r="A8" s="10" t="s">
        <v>23</v>
      </c>
      <c r="B8" s="10"/>
      <c r="C8" s="11"/>
      <c r="D8" s="11"/>
      <c r="E8" s="10"/>
      <c r="F8" s="10"/>
      <c r="G8" s="12"/>
      <c r="H8" s="12"/>
      <c r="I8" s="12"/>
      <c r="J8" s="12"/>
    </row>
    <row r="9" spans="1:11" x14ac:dyDescent="0.3">
      <c r="A9" s="4" t="s">
        <v>9</v>
      </c>
      <c r="B9" s="4" t="s">
        <v>10</v>
      </c>
      <c r="C9" s="5" t="s">
        <v>21</v>
      </c>
      <c r="D9" s="4" t="s">
        <v>22</v>
      </c>
      <c r="E9" s="4" t="s">
        <v>17</v>
      </c>
      <c r="F9" s="6" t="s">
        <v>11</v>
      </c>
      <c r="G9" s="6" t="s">
        <v>12</v>
      </c>
      <c r="H9" s="6" t="s">
        <v>13</v>
      </c>
      <c r="I9" s="6" t="s">
        <v>18</v>
      </c>
      <c r="J9" s="6" t="s">
        <v>8</v>
      </c>
      <c r="K9"/>
    </row>
    <row r="10" spans="1:11" x14ac:dyDescent="0.3">
      <c r="A10" t="s">
        <v>14</v>
      </c>
      <c r="B10">
        <v>0.08</v>
      </c>
      <c r="C10" s="2">
        <f>+B10/2</f>
        <v>0.04</v>
      </c>
      <c r="D10" s="2">
        <f>+C10+B10</f>
        <v>0.12</v>
      </c>
      <c r="E10">
        <v>1</v>
      </c>
      <c r="F10" s="1">
        <f>+E10*D10</f>
        <v>0.12</v>
      </c>
      <c r="G10" s="1">
        <f>+F10*6</f>
        <v>0.72</v>
      </c>
      <c r="H10" s="1">
        <f>+G10*4+H2</f>
        <v>98.88</v>
      </c>
      <c r="I10" s="1">
        <f>+H10*0.3</f>
        <v>29.663999999999998</v>
      </c>
      <c r="J10" s="1">
        <f>(H10-I10)/2</f>
        <v>34.607999999999997</v>
      </c>
      <c r="K10"/>
    </row>
    <row r="11" spans="1:11" x14ac:dyDescent="0.3">
      <c r="A11" t="s">
        <v>15</v>
      </c>
      <c r="B11">
        <v>0.03</v>
      </c>
      <c r="C11" s="2">
        <f>+B11/2</f>
        <v>1.4999999999999999E-2</v>
      </c>
      <c r="D11" s="2">
        <f>+C11+B11</f>
        <v>4.4999999999999998E-2</v>
      </c>
      <c r="E11">
        <v>1</v>
      </c>
      <c r="F11" s="1">
        <f>+E11*D11</f>
        <v>4.4999999999999998E-2</v>
      </c>
      <c r="G11" s="1">
        <f t="shared" ref="G11:G14" si="2">+F11*6</f>
        <v>0.27</v>
      </c>
      <c r="H11" s="1">
        <f>+G11*4+H3</f>
        <v>145.08000000000001</v>
      </c>
      <c r="I11" s="1">
        <f t="shared" ref="I11:I14" si="3">+H11*0.3</f>
        <v>43.524000000000001</v>
      </c>
      <c r="J11" s="1">
        <f t="shared" ref="J11:J14" si="4">(H11-I11)/2</f>
        <v>50.778000000000006</v>
      </c>
      <c r="K11"/>
    </row>
    <row r="12" spans="1:11" x14ac:dyDescent="0.3">
      <c r="A12" t="s">
        <v>16</v>
      </c>
      <c r="B12">
        <v>0.02</v>
      </c>
      <c r="C12" s="2">
        <f>+B12/2</f>
        <v>0.01</v>
      </c>
      <c r="D12" s="2">
        <f>+C12+B12</f>
        <v>0.03</v>
      </c>
      <c r="E12">
        <v>1</v>
      </c>
      <c r="F12" s="1">
        <f>+E12*D12</f>
        <v>0.03</v>
      </c>
      <c r="G12" s="1">
        <f t="shared" si="2"/>
        <v>0.18</v>
      </c>
      <c r="H12" s="1">
        <f>+G12*4+H4</f>
        <v>240.72</v>
      </c>
      <c r="I12" s="1">
        <f t="shared" si="3"/>
        <v>72.215999999999994</v>
      </c>
      <c r="J12" s="1">
        <f t="shared" si="4"/>
        <v>84.25200000000001</v>
      </c>
      <c r="K12"/>
    </row>
    <row r="13" spans="1:11" x14ac:dyDescent="0.3">
      <c r="A13" t="s">
        <v>19</v>
      </c>
      <c r="B13">
        <v>0.25</v>
      </c>
      <c r="C13" s="2">
        <f>+B13/2</f>
        <v>0.125</v>
      </c>
      <c r="D13" s="2">
        <f>+C13+B13</f>
        <v>0.375</v>
      </c>
      <c r="E13">
        <v>1</v>
      </c>
      <c r="F13" s="1">
        <f>+E13*D13</f>
        <v>0.375</v>
      </c>
      <c r="G13" s="1">
        <f t="shared" si="2"/>
        <v>2.25</v>
      </c>
      <c r="H13" s="1">
        <f>+G13*4+H5</f>
        <v>51</v>
      </c>
      <c r="I13" s="1">
        <f t="shared" si="3"/>
        <v>15.299999999999999</v>
      </c>
      <c r="J13" s="1">
        <f t="shared" si="4"/>
        <v>17.850000000000001</v>
      </c>
      <c r="K13"/>
    </row>
    <row r="14" spans="1:11" x14ac:dyDescent="0.3">
      <c r="A14" t="s">
        <v>20</v>
      </c>
      <c r="B14">
        <v>0.01</v>
      </c>
      <c r="D14"/>
      <c r="E14">
        <v>10</v>
      </c>
      <c r="F14" s="1">
        <f>+E14*D14</f>
        <v>0</v>
      </c>
      <c r="G14" s="1">
        <f t="shared" si="2"/>
        <v>0</v>
      </c>
      <c r="H14" s="1">
        <f>+G14*4+H6</f>
        <v>84.000000000000014</v>
      </c>
      <c r="I14" s="1">
        <f t="shared" si="3"/>
        <v>25.200000000000003</v>
      </c>
      <c r="J14" s="1">
        <f t="shared" si="4"/>
        <v>29.400000000000006</v>
      </c>
      <c r="K14"/>
    </row>
    <row r="16" spans="1:11" x14ac:dyDescent="0.3">
      <c r="A16" s="13" t="s">
        <v>25</v>
      </c>
      <c r="B16" s="13"/>
      <c r="C16" s="14"/>
      <c r="D16" s="14"/>
      <c r="E16" s="13"/>
      <c r="F16" s="13"/>
      <c r="G16" s="15"/>
      <c r="H16" s="15"/>
      <c r="I16" s="15"/>
      <c r="J16" s="15"/>
    </row>
    <row r="17" spans="1:11" s="17" customFormat="1" x14ac:dyDescent="0.3">
      <c r="C17" s="18"/>
      <c r="D17" s="18"/>
      <c r="F17" s="17" t="s">
        <v>11</v>
      </c>
      <c r="G17" s="19" t="s">
        <v>12</v>
      </c>
      <c r="H17" s="19" t="s">
        <v>13</v>
      </c>
      <c r="I17" s="19" t="s">
        <v>18</v>
      </c>
      <c r="J17" s="19" t="s">
        <v>8</v>
      </c>
      <c r="K17" s="19"/>
    </row>
    <row r="18" spans="1:11" x14ac:dyDescent="0.3">
      <c r="A18" t="s">
        <v>14</v>
      </c>
      <c r="F18" s="16">
        <f>F10+F2</f>
        <v>4.12</v>
      </c>
      <c r="G18" s="16">
        <f>G10+G2</f>
        <v>24.72</v>
      </c>
      <c r="H18" s="16">
        <f>H10+H2</f>
        <v>194.88</v>
      </c>
      <c r="I18" s="16">
        <f>I10+I2</f>
        <v>58.463999999999999</v>
      </c>
      <c r="J18" s="16">
        <f>J10+J2</f>
        <v>68.207999999999998</v>
      </c>
    </row>
    <row r="19" spans="1:11" x14ac:dyDescent="0.3">
      <c r="A19" t="s">
        <v>15</v>
      </c>
      <c r="F19" s="16">
        <f>F11+F3</f>
        <v>6.0449999999999999</v>
      </c>
      <c r="G19" s="16">
        <f>G11+G3</f>
        <v>36.270000000000003</v>
      </c>
      <c r="H19" s="16">
        <f>H11+H3</f>
        <v>289.08000000000004</v>
      </c>
      <c r="I19" s="16">
        <f>I11+I3</f>
        <v>86.72399999999999</v>
      </c>
      <c r="J19" s="16">
        <f>J11+J3</f>
        <v>101.17800000000001</v>
      </c>
    </row>
    <row r="20" spans="1:11" x14ac:dyDescent="0.3">
      <c r="A20" t="s">
        <v>16</v>
      </c>
      <c r="F20" s="16">
        <f>F12+F4</f>
        <v>10.029999999999999</v>
      </c>
      <c r="G20" s="16">
        <f>G12+G4</f>
        <v>60.18</v>
      </c>
      <c r="H20" s="16">
        <f>H12+H4</f>
        <v>480.72</v>
      </c>
      <c r="I20" s="16">
        <f>I12+I4</f>
        <v>144.21600000000001</v>
      </c>
      <c r="J20" s="16">
        <f>J12+J4</f>
        <v>168.25200000000001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Facturacion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 Rauda</dc:creator>
  <cp:lastModifiedBy>Rodrigo José Rivera</cp:lastModifiedBy>
  <dcterms:created xsi:type="dcterms:W3CDTF">2015-06-05T18:19:34Z</dcterms:created>
  <dcterms:modified xsi:type="dcterms:W3CDTF">2025-07-21T17:58:34Z</dcterms:modified>
</cp:coreProperties>
</file>